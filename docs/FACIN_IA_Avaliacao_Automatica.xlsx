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âmetros_Dimensões" sheetId="2" state="visible" r:id="rId2"/>
    <sheet xmlns:r="http://schemas.openxmlformats.org/officeDocument/2006/relationships" name="Parâmetros_Indicadores" sheetId="3" state="visible" r:id="rId3"/>
    <sheet xmlns:r="http://schemas.openxmlformats.org/officeDocument/2006/relationships" name="Avaliação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FACIN_IA - Planilha de Avaliação Automática</t>
        </is>
      </c>
    </row>
    <row r="3">
      <c r="A3" t="inlineStr">
        <is>
          <t>1. Preencha apenas as colunas 'Valor apurado', 'Evidência principal' e 'Observações' na aba Avaliação.</t>
        </is>
      </c>
    </row>
    <row r="4">
      <c r="A4" t="inlineStr">
        <is>
          <t>2. A nota automática do indicador é calculada a partir dos limiares parametrizados.</t>
        </is>
      </c>
    </row>
    <row r="5">
      <c r="A5" t="inlineStr">
        <is>
          <t>3. A pontuação da dimensão é ponderada pelos pesos internos dos indicadores.</t>
        </is>
      </c>
    </row>
    <row r="6">
      <c r="A6" t="inlineStr">
        <is>
          <t>4. O índice geral é ponderado pelos pesos das seis dimensões.</t>
        </is>
      </c>
    </row>
    <row r="7">
      <c r="A7" t="inlineStr">
        <is>
          <t>5. A classificação final aplica as barreiras institucionais da PRODEMGE.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2" t="inlineStr">
        <is>
          <t>Dimensão</t>
        </is>
      </c>
      <c r="B1" s="2" t="inlineStr">
        <is>
          <t>Peso_dimensão</t>
        </is>
      </c>
    </row>
    <row r="2">
      <c r="A2" s="3" t="inlineStr">
        <is>
          <t>Estratégia e Governança de IA</t>
        </is>
      </c>
      <c r="B2" s="3" t="n">
        <v>15</v>
      </c>
    </row>
    <row r="3">
      <c r="A3" s="3" t="inlineStr">
        <is>
          <t>Dados e Infraestrutura</t>
        </is>
      </c>
      <c r="B3" s="3" t="n">
        <v>20</v>
      </c>
    </row>
    <row r="4">
      <c r="A4" s="3" t="inlineStr">
        <is>
          <t>Talento e Cultura</t>
        </is>
      </c>
      <c r="B4" s="3" t="n">
        <v>10</v>
      </c>
    </row>
    <row r="5">
      <c r="A5" s="3" t="inlineStr">
        <is>
          <t>Desenvolvimento e Operação de IA (DevOps/MLOps)</t>
        </is>
      </c>
      <c r="B5" s="3" t="n">
        <v>25</v>
      </c>
    </row>
    <row r="6">
      <c r="A6" s="3" t="inlineStr">
        <is>
          <t>Ética, Transparência e Gestão de Risco</t>
        </is>
      </c>
      <c r="B6" s="3" t="n">
        <v>20</v>
      </c>
    </row>
    <row r="7">
      <c r="A7" s="3" t="inlineStr">
        <is>
          <t>Impacto Social e Valor</t>
        </is>
      </c>
      <c r="B7" s="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Indicador_crítico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b">
        <v>0</v>
      </c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b">
        <v>0</v>
      </c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b">
        <v>0</v>
      </c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b">
        <v>0</v>
      </c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b">
        <v>1</v>
      </c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b">
        <v>0</v>
      </c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b">
        <v>0</v>
      </c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b">
        <v>0</v>
      </c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b">
        <v>0</v>
      </c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b">
        <v>0</v>
      </c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b">
        <v>1</v>
      </c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b">
        <v>1</v>
      </c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b">
        <v>0</v>
      </c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b">
        <v>1</v>
      </c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b">
        <v>0</v>
      </c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b">
        <v>1</v>
      </c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b">
        <v>0</v>
      </c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b">
        <v>0</v>
      </c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40" customWidth="1" min="12" max="12"/>
    <col width="19" customWidth="1" min="13" max="13"/>
    <col width="21" customWidth="1" min="14" max="14"/>
    <col width="13" customWidth="1" min="15" max="15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Valor_apurado</t>
        </is>
      </c>
      <c r="L1" s="2" t="inlineStr">
        <is>
          <t>Nota_automática</t>
        </is>
      </c>
      <c r="M1" s="2" t="inlineStr">
        <is>
          <t>Indicador_crítico</t>
        </is>
      </c>
      <c r="N1" s="2" t="inlineStr">
        <is>
          <t>Evidência_principal</t>
        </is>
      </c>
      <c r="O1" s="2" t="inlineStr">
        <is>
          <t>Observações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n"/>
      <c r="L2" s="3">
        <f>IF(K2="","",IF(K2&lt;G2,1,IF(K2&lt;H2,2,IF(K2&lt;I2,3,IF(K2&lt;J2,4,5)))))</f>
        <v/>
      </c>
      <c r="M2" s="3" t="b">
        <v>0</v>
      </c>
      <c r="N2" s="3" t="inlineStr"/>
      <c r="O2" s="3" t="inlineStr"/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n"/>
      <c r="L3" s="3">
        <f>IF(K3="","",IF(K3&lt;G3,1,IF(K3&lt;H3,2,IF(K3&lt;I3,3,IF(K3&lt;J3,4,5)))))</f>
        <v/>
      </c>
      <c r="M3" s="3" t="b">
        <v>0</v>
      </c>
      <c r="N3" s="3" t="inlineStr"/>
      <c r="O3" s="3" t="inlineStr"/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n"/>
      <c r="L4" s="3">
        <f>IF(K4="","",IF(K4&lt;G4,1,IF(K4&lt;H4,2,IF(K4&lt;I4,3,IF(K4&lt;J4,4,5)))))</f>
        <v/>
      </c>
      <c r="M4" s="3" t="b">
        <v>0</v>
      </c>
      <c r="N4" s="3" t="inlineStr"/>
      <c r="O4" s="3" t="inlineStr"/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n"/>
      <c r="L5" s="3">
        <f>IF(K5="","",IF(K5&lt;G5,1,IF(K5&lt;H5,2,IF(K5&lt;I5,3,IF(K5&lt;J5,4,5)))))</f>
        <v/>
      </c>
      <c r="M5" s="3" t="b">
        <v>0</v>
      </c>
      <c r="N5" s="3" t="inlineStr"/>
      <c r="O5" s="3" t="inlineStr"/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n"/>
      <c r="L6" s="3">
        <f>IF(K6="","",IF(K6&lt;G6,1,IF(K6&lt;H6,2,IF(K6&lt;I6,3,IF(K6&lt;J6,4,5)))))</f>
        <v/>
      </c>
      <c r="M6" s="3" t="b">
        <v>1</v>
      </c>
      <c r="N6" s="3" t="inlineStr"/>
      <c r="O6" s="3" t="inlineStr"/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n"/>
      <c r="L7" s="3">
        <f>IF(K7="","",IF(K7&lt;G7,1,IF(K7&lt;H7,2,IF(K7&lt;I7,3,IF(K7&lt;J7,4,5)))))</f>
        <v/>
      </c>
      <c r="M7" s="3" t="b">
        <v>0</v>
      </c>
      <c r="N7" s="3" t="inlineStr"/>
      <c r="O7" s="3" t="inlineStr"/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n"/>
      <c r="L8" s="3">
        <f>IF(K8="","",IF(K8&lt;G8,1,IF(K8&lt;H8,2,IF(K8&lt;I8,3,IF(K8&lt;J8,4,5)))))</f>
        <v/>
      </c>
      <c r="M8" s="3" t="b">
        <v>0</v>
      </c>
      <c r="N8" s="3" t="inlineStr"/>
      <c r="O8" s="3" t="inlineStr"/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n"/>
      <c r="L9" s="3">
        <f>IF(K9="","",IF(K9&lt;G9,1,IF(K9&lt;H9,2,IF(K9&lt;I9,3,IF(K9&lt;J9,4,5)))))</f>
        <v/>
      </c>
      <c r="M9" s="3" t="b">
        <v>0</v>
      </c>
      <c r="N9" s="3" t="inlineStr"/>
      <c r="O9" s="3" t="inlineStr"/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n"/>
      <c r="L10" s="3">
        <f>IF(K10="","",IF(K10&lt;G10,1,IF(K10&lt;H10,2,IF(K10&lt;I10,3,IF(K10&lt;J10,4,5)))))</f>
        <v/>
      </c>
      <c r="M10" s="3" t="b">
        <v>0</v>
      </c>
      <c r="N10" s="3" t="inlineStr"/>
      <c r="O10" s="3" t="inlineStr"/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n"/>
      <c r="L11" s="3">
        <f>IF(K11="","",IF(K11&lt;G11,1,IF(K11&lt;H11,2,IF(K11&lt;I11,3,IF(K11&lt;J11,4,5)))))</f>
        <v/>
      </c>
      <c r="M11" s="3" t="b">
        <v>0</v>
      </c>
      <c r="N11" s="3" t="inlineStr"/>
      <c r="O11" s="3" t="inlineStr"/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n"/>
      <c r="L12" s="3">
        <f>IF(K12="","",IF(K12&lt;G12,1,IF(K12&lt;H12,2,IF(K12&lt;I12,3,IF(K12&lt;J12,4,5)))))</f>
        <v/>
      </c>
      <c r="M12" s="3" t="b">
        <v>1</v>
      </c>
      <c r="N12" s="3" t="inlineStr"/>
      <c r="O12" s="3" t="inlineStr"/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n"/>
      <c r="L13" s="3">
        <f>IF(K13="","",IF(K13&lt;G13,1,IF(K13&lt;H13,2,IF(K13&lt;I13,3,IF(K13&lt;J13,4,5)))))</f>
        <v/>
      </c>
      <c r="M13" s="3" t="b">
        <v>1</v>
      </c>
      <c r="N13" s="3" t="inlineStr"/>
      <c r="O13" s="3" t="inlineStr"/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n"/>
      <c r="L14" s="3">
        <f>IF(K14="","",IF(K14&lt;=J14,5,IF(K14&lt;=I14,4,IF(K14&lt;=H14,3,IF(K14&lt;=G14,2,1)))))</f>
        <v/>
      </c>
      <c r="M14" s="3" t="b">
        <v>0</v>
      </c>
      <c r="N14" s="3" t="inlineStr"/>
      <c r="O14" s="3" t="inlineStr"/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n"/>
      <c r="L15" s="3">
        <f>IF(K15="","",IF(K15&lt;G15,1,IF(K15&lt;H15,2,IF(K15&lt;I15,3,IF(K15&lt;J15,4,5)))))</f>
        <v/>
      </c>
      <c r="M15" s="3" t="b">
        <v>1</v>
      </c>
      <c r="N15" s="3" t="inlineStr"/>
      <c r="O15" s="3" t="inlineStr"/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n"/>
      <c r="L16" s="3">
        <f>IF(K16="","",IF(K16&lt;G16,1,IF(K16&lt;H16,2,IF(K16&lt;I16,3,IF(K16&lt;J16,4,5)))))</f>
        <v/>
      </c>
      <c r="M16" s="3" t="b">
        <v>0</v>
      </c>
      <c r="N16" s="3" t="inlineStr"/>
      <c r="O16" s="3" t="inlineStr"/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n"/>
      <c r="L17" s="3">
        <f>IF(K17="","",IF(K17&lt;G17,1,IF(K17&lt;H17,2,IF(K17&lt;I17,3,IF(K17&lt;J17,4,5)))))</f>
        <v/>
      </c>
      <c r="M17" s="3" t="b">
        <v>1</v>
      </c>
      <c r="N17" s="3" t="inlineStr"/>
      <c r="O17" s="3" t="inlineStr"/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n"/>
      <c r="L18" s="3">
        <f>IF(K18="","",IF(K18&lt;G18,1,IF(K18&lt;H18,2,IF(K18&lt;I18,3,IF(K18&lt;J18,4,5)))))</f>
        <v/>
      </c>
      <c r="M18" s="3" t="b">
        <v>0</v>
      </c>
      <c r="N18" s="3" t="inlineStr"/>
      <c r="O18" s="3" t="inlineStr"/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n"/>
      <c r="L19" s="3">
        <f>IF(K19="","",IF(K19&lt;G19,1,IF(K19&lt;H19,2,IF(K19&lt;I19,3,IF(K19&lt;J19,4,5)))))</f>
        <v/>
      </c>
      <c r="M19" s="3" t="b">
        <v>0</v>
      </c>
      <c r="N19" s="3" t="inlineStr"/>
      <c r="O19" s="3" t="inlineStr"/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n"/>
      <c r="L20" s="3">
        <f>IF(K20="","",IF(K20&lt;G20,1,IF(K20&lt;H20,2,IF(K20&lt;I20,3,IF(K20&lt;J20,4,5)))))</f>
        <v/>
      </c>
      <c r="M20" s="3" t="b">
        <v>0</v>
      </c>
      <c r="N20" s="3" t="inlineStr"/>
      <c r="O2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>
      <c r="A1" s="2" t="inlineStr">
        <is>
          <t>Dimensão</t>
        </is>
      </c>
      <c r="B1" s="2" t="inlineStr">
        <is>
          <t>Peso_dimensão</t>
        </is>
      </c>
      <c r="C1" s="2" t="inlineStr">
        <is>
          <t>Pontuação_dimensão</t>
        </is>
      </c>
    </row>
    <row r="2">
      <c r="A2" s="3" t="inlineStr">
        <is>
          <t>Estratégia e Governança de IA</t>
        </is>
      </c>
      <c r="B2" s="3" t="n">
        <v>15</v>
      </c>
      <c r="C2" s="3">
        <f>IFERROR(SUMPRODUCT(('Avaliação'!$A$2:$A$20=A2)*'Avaliação'!$F$2:$F$20*'Avaliação'!$L$2:$L$20)/SUMIF('Avaliação'!$A$2:$A$20,A2,'Avaliação'!$F$2:$F$20),"")</f>
        <v/>
      </c>
    </row>
    <row r="3">
      <c r="A3" s="3" t="inlineStr">
        <is>
          <t>Dados e Infraestrutura</t>
        </is>
      </c>
      <c r="B3" s="3" t="n">
        <v>20</v>
      </c>
      <c r="C3" s="3">
        <f>IFERROR(SUMPRODUCT(('Avaliação'!$A$2:$A$20=A3)*'Avaliação'!$F$2:$F$20*'Avaliação'!$L$2:$L$20)/SUMIF('Avaliação'!$A$2:$A$20,A3,'Avaliação'!$F$2:$F$20),"")</f>
        <v/>
      </c>
    </row>
    <row r="4">
      <c r="A4" s="3" t="inlineStr">
        <is>
          <t>Talento e Cultura</t>
        </is>
      </c>
      <c r="B4" s="3" t="n">
        <v>10</v>
      </c>
      <c r="C4" s="3">
        <f>IFERROR(SUMPRODUCT(('Avaliação'!$A$2:$A$20=A4)*'Avaliação'!$F$2:$F$20*'Avaliação'!$L$2:$L$20)/SUMIF('Avaliação'!$A$2:$A$20,A4,'Avaliação'!$F$2:$F$20),"")</f>
        <v/>
      </c>
    </row>
    <row r="5">
      <c r="A5" s="3" t="inlineStr">
        <is>
          <t>Desenvolvimento e Operação de IA (DevOps/MLOps)</t>
        </is>
      </c>
      <c r="B5" s="3" t="n">
        <v>25</v>
      </c>
      <c r="C5" s="3">
        <f>IFERROR(SUMPRODUCT(('Avaliação'!$A$2:$A$20=A5)*'Avaliação'!$F$2:$F$20*'Avaliação'!$L$2:$L$20)/SUMIF('Avaliação'!$A$2:$A$20,A5,'Avaliação'!$F$2:$F$20),"")</f>
        <v/>
      </c>
    </row>
    <row r="6">
      <c r="A6" s="3" t="inlineStr">
        <is>
          <t>Ética, Transparência e Gestão de Risco</t>
        </is>
      </c>
      <c r="B6" s="3" t="n">
        <v>20</v>
      </c>
      <c r="C6" s="3">
        <f>IFERROR(SUMPRODUCT(('Avaliação'!$A$2:$A$20=A6)*'Avaliação'!$F$2:$F$20*'Avaliação'!$L$2:$L$20)/SUMIF('Avaliação'!$A$2:$A$20,A6,'Avaliação'!$F$2:$F$20),"")</f>
        <v/>
      </c>
    </row>
    <row r="7">
      <c r="A7" s="3" t="inlineStr">
        <is>
          <t>Impacto Social e Valor</t>
        </is>
      </c>
      <c r="B7" s="3" t="n">
        <v>10</v>
      </c>
      <c r="C7" s="3">
        <f>IFERROR(SUMPRODUCT(('Avaliação'!$A$2:$A$20=A7)*'Avaliação'!$F$2:$F$20*'Avaliação'!$L$2:$L$20)/SUMIF('Avaliação'!$A$2:$A$20,A7,'Avaliação'!$F$2:$F$20),"")</f>
        <v/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inlineStr">
        <is>
          <t>Índice geral</t>
        </is>
      </c>
      <c r="B10" s="3" t="n"/>
      <c r="C10" s="3">
        <f>SUMPRODUCT(B2:B7,C2:C7)/100</f>
        <v/>
      </c>
    </row>
    <row r="11">
      <c r="A11" s="3" t="inlineStr">
        <is>
          <t>Classificação base</t>
        </is>
      </c>
      <c r="B11" s="3" t="n"/>
      <c r="C11" s="3">
        <f>IF(C10="","",IF(C10&lt;=1.9,"Nível 1 - Inicial",IF(C10&lt;=2.7,"Nível 2 - Em Desenvolvimento",IF(C10&lt;=3.5,"Nível 3 - Otimizado",IF(C10&lt;=4.3,"Nível 4 - Consolidado","Nível 5 - Estabelecido")))))</f>
        <v/>
      </c>
    </row>
    <row r="12">
      <c r="A12" s="3" t="inlineStr">
        <is>
          <t>Barreira níveis críticos</t>
        </is>
      </c>
      <c r="B12" s="3" t="n"/>
      <c r="C12" s="3">
        <f>MIN(C3,C5,C6)</f>
        <v/>
      </c>
    </row>
    <row r="13">
      <c r="A13" s="3" t="inlineStr">
        <is>
          <t>Menor pontuação geral</t>
        </is>
      </c>
      <c r="B13" s="3" t="n"/>
      <c r="C13" s="3">
        <f>MIN(C2:C7)</f>
        <v/>
      </c>
    </row>
    <row r="14">
      <c r="A14" s="3" t="inlineStr">
        <is>
          <t>Menor nota de indicador crítico</t>
        </is>
      </c>
      <c r="B14" s="3" t="n"/>
      <c r="C14" s="3">
        <f>MINIFS('Avaliação'!L2:L20,'Avaliação'!M2:M20,TRUE)</f>
        <v/>
      </c>
    </row>
    <row r="15">
      <c r="A15" s="3" t="inlineStr">
        <is>
          <t>Classificação final</t>
        </is>
      </c>
      <c r="B15" s="3" t="n"/>
      <c r="C15" s="3">
        <f>IF(C10="","",IF(AND(C10&gt;4.3,C13&gt;=4,C14&gt;=3),"Nível 5 - Estabelecido",IF(AND(C10&gt;3.5,C12&gt;=3.5),"Nível 4 - Consolidado",IF(C10&gt;2.7,"Nível 3 - Otimizado",IF(C10&gt;1.9,"Nível 2 - Em Desenvolvimento","Nível 1 - Inicial")))))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2026-03-07T18:06:49Z</dcterms:created>
  <dcterms:modified xmlns:dcterms="http://purl.org/dc/terms/" xmlns:xsi="http://www.w3.org/2001/XMLSchema-instance" xsi:type="dcterms:W3CDTF">2026-03-07T18:06:49Z</dcterms:modified>
</cp:coreProperties>
</file>