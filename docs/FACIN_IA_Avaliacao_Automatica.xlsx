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arâmetros_Dimensões" sheetId="2" state="visible" r:id="rId2"/>
    <sheet xmlns:r="http://schemas.openxmlformats.org/officeDocument/2006/relationships" name="Parâmetros_Indicadores" sheetId="3" state="visible" r:id="rId3"/>
    <sheet xmlns:r="http://schemas.openxmlformats.org/officeDocument/2006/relationships" name="Avaliação" sheetId="4" state="visible" r:id="rId4"/>
    <sheet xmlns:r="http://schemas.openxmlformats.org/officeDocument/2006/relationships"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FACIN_IA - Planilha de Avaliação Automática</t>
        </is>
      </c>
    </row>
    <row r="3">
      <c r="A3" t="inlineStr">
        <is>
          <t>1. Preencha apenas as colunas 'Valor apurado', 'Evidência principal' e 'Observações' na aba Avaliação.</t>
        </is>
      </c>
    </row>
    <row r="4">
      <c r="A4" t="inlineStr">
        <is>
          <t>2. A nota automática do indicador é calculada a partir dos limiares parametrizados.</t>
        </is>
      </c>
    </row>
    <row r="5">
      <c r="A5" t="inlineStr">
        <is>
          <t>3. A pontuação da dimensão é ponderada pelos pesos internos dos indicadores.</t>
        </is>
      </c>
    </row>
    <row r="6">
      <c r="A6" t="inlineStr">
        <is>
          <t>4. O índice geral é ponderado pelos pesos das seis dimensões.</t>
        </is>
      </c>
    </row>
    <row r="7">
      <c r="A7" t="inlineStr">
        <is>
          <t>5. A classificação final aplica as barreiras institucionais da PRODEMGE.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2" t="inlineStr">
        <is>
          <t>Dimensão</t>
        </is>
      </c>
      <c r="B1" s="2" t="inlineStr">
        <is>
          <t>Peso_dimensão</t>
        </is>
      </c>
    </row>
    <row r="2">
      <c r="A2" s="3" t="inlineStr">
        <is>
          <t>Estratégia e Governança de IA</t>
        </is>
      </c>
      <c r="B2" s="3" t="n">
        <v>15</v>
      </c>
    </row>
    <row r="3">
      <c r="A3" s="3" t="inlineStr">
        <is>
          <t>Dados e Infraestrutura</t>
        </is>
      </c>
      <c r="B3" s="3" t="n">
        <v>20</v>
      </c>
    </row>
    <row r="4">
      <c r="A4" s="3" t="inlineStr">
        <is>
          <t>Talento e Cultura</t>
        </is>
      </c>
      <c r="B4" s="3" t="n">
        <v>10</v>
      </c>
    </row>
    <row r="5">
      <c r="A5" s="3" t="inlineStr">
        <is>
          <t>Desenvolvimento e Operação de IA (DevOps/MLOps)</t>
        </is>
      </c>
      <c r="B5" s="3" t="n">
        <v>25</v>
      </c>
    </row>
    <row r="6">
      <c r="A6" s="3" t="inlineStr">
        <is>
          <t>Ética, Transparência e Gestão de Risco</t>
        </is>
      </c>
      <c r="B6" s="3" t="n">
        <v>20</v>
      </c>
    </row>
    <row r="7">
      <c r="A7" s="3" t="inlineStr">
        <is>
          <t>Impacto Social e Valor</t>
        </is>
      </c>
      <c r="B7" s="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</cols>
  <sheetData>
    <row r="1">
      <c r="A1" s="2" t="inlineStr">
        <is>
          <t>Dimensão</t>
        </is>
      </c>
      <c r="B1" s="2" t="inlineStr">
        <is>
          <t>Código</t>
        </is>
      </c>
      <c r="C1" s="2" t="inlineStr">
        <is>
          <t>Indicador</t>
        </is>
      </c>
      <c r="D1" s="2" t="inlineStr">
        <is>
          <t>Unidade</t>
        </is>
      </c>
      <c r="E1" s="2" t="inlineStr">
        <is>
          <t>Polaridade</t>
        </is>
      </c>
      <c r="F1" s="2" t="inlineStr">
        <is>
          <t>Peso_indicador</t>
        </is>
      </c>
      <c r="G1" s="2" t="inlineStr">
        <is>
          <t>Limiar_N2</t>
        </is>
      </c>
      <c r="H1" s="2" t="inlineStr">
        <is>
          <t>Limiar_N3</t>
        </is>
      </c>
      <c r="I1" s="2" t="inlineStr">
        <is>
          <t>Limiar_N4</t>
        </is>
      </c>
      <c r="J1" s="2" t="inlineStr">
        <is>
          <t>Limiar_N5</t>
        </is>
      </c>
      <c r="K1" s="2" t="inlineStr">
        <is>
          <t>Indicador_crítico</t>
        </is>
      </c>
    </row>
    <row r="2">
      <c r="A2" s="3" t="inlineStr">
        <is>
          <t>Estratégia e Governança de IA</t>
        </is>
      </c>
      <c r="B2" s="3" t="inlineStr">
        <is>
          <t>EG1</t>
        </is>
      </c>
      <c r="C2" s="3" t="inlineStr">
        <is>
          <t>Cobertura de política e estratégia de IA</t>
        </is>
      </c>
      <c r="D2" s="3" t="inlineStr">
        <is>
          <t>percentual</t>
        </is>
      </c>
      <c r="E2" s="3" t="inlineStr">
        <is>
          <t>maior_melhor</t>
        </is>
      </c>
      <c r="F2" s="3" t="n">
        <v>30</v>
      </c>
      <c r="G2" s="3" t="n">
        <v>30</v>
      </c>
      <c r="H2" s="3" t="n">
        <v>50</v>
      </c>
      <c r="I2" s="3" t="n">
        <v>75</v>
      </c>
      <c r="J2" s="3" t="n">
        <v>90</v>
      </c>
      <c r="K2" s="3" t="b">
        <v>0</v>
      </c>
    </row>
    <row r="3">
      <c r="A3" s="3" t="inlineStr">
        <is>
          <t>Estratégia e Governança de IA</t>
        </is>
      </c>
      <c r="B3" s="3" t="inlineStr">
        <is>
          <t>EG2</t>
        </is>
      </c>
      <c r="C3" s="3" t="inlineStr">
        <is>
          <t>Governança do portfólio de casos de uso de IA</t>
        </is>
      </c>
      <c r="D3" s="3" t="inlineStr">
        <is>
          <t>percentual</t>
        </is>
      </c>
      <c r="E3" s="3" t="inlineStr">
        <is>
          <t>maior_melhor</t>
        </is>
      </c>
      <c r="F3" s="3" t="n">
        <v>30</v>
      </c>
      <c r="G3" s="3" t="n">
        <v>30</v>
      </c>
      <c r="H3" s="3" t="n">
        <v>50</v>
      </c>
      <c r="I3" s="3" t="n">
        <v>75</v>
      </c>
      <c r="J3" s="3" t="n">
        <v>90</v>
      </c>
      <c r="K3" s="3" t="b">
        <v>0</v>
      </c>
    </row>
    <row r="4">
      <c r="A4" s="3" t="inlineStr">
        <is>
          <t>Estratégia e Governança de IA</t>
        </is>
      </c>
      <c r="B4" s="3" t="inlineStr">
        <is>
          <t>EG3</t>
        </is>
      </c>
      <c r="C4" s="3" t="inlineStr">
        <is>
          <t>Rastreabilidade de decisões e artefatos de IA</t>
        </is>
      </c>
      <c r="D4" s="3" t="inlineStr">
        <is>
          <t>percentual</t>
        </is>
      </c>
      <c r="E4" s="3" t="inlineStr">
        <is>
          <t>maior_melhor</t>
        </is>
      </c>
      <c r="F4" s="3" t="n">
        <v>40</v>
      </c>
      <c r="G4" s="3" t="n">
        <v>30</v>
      </c>
      <c r="H4" s="3" t="n">
        <v>50</v>
      </c>
      <c r="I4" s="3" t="n">
        <v>75</v>
      </c>
      <c r="J4" s="3" t="n">
        <v>90</v>
      </c>
      <c r="K4" s="3" t="b">
        <v>0</v>
      </c>
    </row>
    <row r="5">
      <c r="A5" s="3" t="inlineStr">
        <is>
          <t>Dados e Infraestrutura</t>
        </is>
      </c>
      <c r="B5" s="3" t="inlineStr">
        <is>
          <t>DI1</t>
        </is>
      </c>
      <c r="C5" s="3" t="inlineStr">
        <is>
          <t>Cobertura de catálogo e linhagem de dados e modelos</t>
        </is>
      </c>
      <c r="D5" s="3" t="inlineStr">
        <is>
          <t>percentual</t>
        </is>
      </c>
      <c r="E5" s="3" t="inlineStr">
        <is>
          <t>maior_melhor</t>
        </is>
      </c>
      <c r="F5" s="3" t="n">
        <v>35</v>
      </c>
      <c r="G5" s="3" t="n">
        <v>35</v>
      </c>
      <c r="H5" s="3" t="n">
        <v>55</v>
      </c>
      <c r="I5" s="3" t="n">
        <v>75</v>
      </c>
      <c r="J5" s="3" t="n">
        <v>90</v>
      </c>
      <c r="K5" s="3" t="b">
        <v>0</v>
      </c>
    </row>
    <row r="6">
      <c r="A6" s="3" t="inlineStr">
        <is>
          <t>Dados e Infraestrutura</t>
        </is>
      </c>
      <c r="B6" s="3" t="inlineStr">
        <is>
          <t>DI2</t>
        </is>
      </c>
      <c r="C6" s="3" t="inlineStr">
        <is>
          <t>Conformidade de proteção de dados e acessos</t>
        </is>
      </c>
      <c r="D6" s="3" t="inlineStr">
        <is>
          <t>percentual</t>
        </is>
      </c>
      <c r="E6" s="3" t="inlineStr">
        <is>
          <t>maior_melhor</t>
        </is>
      </c>
      <c r="F6" s="3" t="n">
        <v>40</v>
      </c>
      <c r="G6" s="3" t="n">
        <v>40</v>
      </c>
      <c r="H6" s="3" t="n">
        <v>60</v>
      </c>
      <c r="I6" s="3" t="n">
        <v>80</v>
      </c>
      <c r="J6" s="3" t="n">
        <v>95</v>
      </c>
      <c r="K6" s="3" t="b">
        <v>1</v>
      </c>
    </row>
    <row r="7">
      <c r="A7" s="3" t="inlineStr">
        <is>
          <t>Dados e Infraestrutura</t>
        </is>
      </c>
      <c r="B7" s="3" t="inlineStr">
        <is>
          <t>DI3</t>
        </is>
      </c>
      <c r="C7" s="3" t="inlineStr">
        <is>
          <t>Disponibilidade da infraestrutura crítica de IA</t>
        </is>
      </c>
      <c r="D7" s="3" t="inlineStr">
        <is>
          <t>percentual</t>
        </is>
      </c>
      <c r="E7" s="3" t="inlineStr">
        <is>
          <t>maior_melhor</t>
        </is>
      </c>
      <c r="F7" s="3" t="n">
        <v>25</v>
      </c>
      <c r="G7" s="3" t="n">
        <v>97</v>
      </c>
      <c r="H7" s="3" t="n">
        <v>98</v>
      </c>
      <c r="I7" s="3" t="n">
        <v>99</v>
      </c>
      <c r="J7" s="3" t="n">
        <v>99.7</v>
      </c>
      <c r="K7" s="3" t="b">
        <v>0</v>
      </c>
    </row>
    <row r="8">
      <c r="A8" s="3" t="inlineStr">
        <is>
          <t>Talento e Cultura</t>
        </is>
      </c>
      <c r="B8" s="3" t="inlineStr">
        <is>
          <t>TC1</t>
        </is>
      </c>
      <c r="C8" s="3" t="inlineStr">
        <is>
          <t>Cobertura de papéis críticos de IA formalmente atribuídos</t>
        </is>
      </c>
      <c r="D8" s="3" t="inlineStr">
        <is>
          <t>percentual</t>
        </is>
      </c>
      <c r="E8" s="3" t="inlineStr">
        <is>
          <t>maior_melhor</t>
        </is>
      </c>
      <c r="F8" s="3" t="n">
        <v>35</v>
      </c>
      <c r="G8" s="3" t="n">
        <v>30</v>
      </c>
      <c r="H8" s="3" t="n">
        <v>50</v>
      </c>
      <c r="I8" s="3" t="n">
        <v>75</v>
      </c>
      <c r="J8" s="3" t="n">
        <v>90</v>
      </c>
      <c r="K8" s="3" t="b">
        <v>0</v>
      </c>
    </row>
    <row r="9">
      <c r="A9" s="3" t="inlineStr">
        <is>
          <t>Talento e Cultura</t>
        </is>
      </c>
      <c r="B9" s="3" t="inlineStr">
        <is>
          <t>TC2</t>
        </is>
      </c>
      <c r="C9" s="3" t="inlineStr">
        <is>
          <t>Capacitação aplicada em governança e operação de IA</t>
        </is>
      </c>
      <c r="D9" s="3" t="inlineStr">
        <is>
          <t>horas</t>
        </is>
      </c>
      <c r="E9" s="3" t="inlineStr">
        <is>
          <t>maior_melhor</t>
        </is>
      </c>
      <c r="F9" s="3" t="n">
        <v>25</v>
      </c>
      <c r="G9" s="3" t="n">
        <v>6</v>
      </c>
      <c r="H9" s="3" t="n">
        <v>12</v>
      </c>
      <c r="I9" s="3" t="n">
        <v>20</v>
      </c>
      <c r="J9" s="3" t="n">
        <v>32</v>
      </c>
      <c r="K9" s="3" t="b">
        <v>0</v>
      </c>
    </row>
    <row r="10">
      <c r="A10" s="3" t="inlineStr">
        <is>
          <t>Talento e Cultura</t>
        </is>
      </c>
      <c r="B10" s="3" t="inlineStr">
        <is>
          <t>TC3</t>
        </is>
      </c>
      <c r="C10" s="3" t="inlineStr">
        <is>
          <t>Aderência à segregação entre ideação e produção</t>
        </is>
      </c>
      <c r="D10" s="3" t="inlineStr">
        <is>
          <t>percentual</t>
        </is>
      </c>
      <c r="E10" s="3" t="inlineStr">
        <is>
          <t>maior_melhor</t>
        </is>
      </c>
      <c r="F10" s="3" t="n">
        <v>40</v>
      </c>
      <c r="G10" s="3" t="n">
        <v>30</v>
      </c>
      <c r="H10" s="3" t="n">
        <v>50</v>
      </c>
      <c r="I10" s="3" t="n">
        <v>75</v>
      </c>
      <c r="J10" s="3" t="n">
        <v>90</v>
      </c>
      <c r="K10" s="3" t="b">
        <v>0</v>
      </c>
    </row>
    <row r="11">
      <c r="A11" s="3" t="inlineStr">
        <is>
          <t>Desenvolvimento e Operação de IA (DevOps/MLOps)</t>
        </is>
      </c>
      <c r="B11" s="3" t="inlineStr">
        <is>
          <t>DO1</t>
        </is>
      </c>
      <c r="C11" s="3" t="inlineStr">
        <is>
          <t>Cobertura de especificação antes de código ou ajuste de modelo</t>
        </is>
      </c>
      <c r="D11" s="3" t="inlineStr">
        <is>
          <t>percentual</t>
        </is>
      </c>
      <c r="E11" s="3" t="inlineStr">
        <is>
          <t>maior_melhor</t>
        </is>
      </c>
      <c r="F11" s="3" t="n">
        <v>25</v>
      </c>
      <c r="G11" s="3" t="n">
        <v>35</v>
      </c>
      <c r="H11" s="3" t="n">
        <v>55</v>
      </c>
      <c r="I11" s="3" t="n">
        <v>80</v>
      </c>
      <c r="J11" s="3" t="n">
        <v>95</v>
      </c>
      <c r="K11" s="3" t="b">
        <v>0</v>
      </c>
    </row>
    <row r="12">
      <c r="A12" s="3" t="inlineStr">
        <is>
          <t>Desenvolvimento e Operação de IA (DevOps/MLOps)</t>
        </is>
      </c>
      <c r="B12" s="3" t="inlineStr">
        <is>
          <t>DO2</t>
        </is>
      </c>
      <c r="C12" s="3" t="inlineStr">
        <is>
          <t>Cobertura de testes e validações de IA na esteira</t>
        </is>
      </c>
      <c r="D12" s="3" t="inlineStr">
        <is>
          <t>percentual</t>
        </is>
      </c>
      <c r="E12" s="3" t="inlineStr">
        <is>
          <t>maior_melhor</t>
        </is>
      </c>
      <c r="F12" s="3" t="n">
        <v>30</v>
      </c>
      <c r="G12" s="3" t="n">
        <v>35</v>
      </c>
      <c r="H12" s="3" t="n">
        <v>55</v>
      </c>
      <c r="I12" s="3" t="n">
        <v>80</v>
      </c>
      <c r="J12" s="3" t="n">
        <v>95</v>
      </c>
      <c r="K12" s="3" t="b">
        <v>1</v>
      </c>
    </row>
    <row r="13">
      <c r="A13" s="3" t="inlineStr">
        <is>
          <t>Desenvolvimento e Operação de IA (DevOps/MLOps)</t>
        </is>
      </c>
      <c r="B13" s="3" t="inlineStr">
        <is>
          <t>DO3</t>
        </is>
      </c>
      <c r="C13" s="3" t="inlineStr">
        <is>
          <t>Cobertura de observabilidade obrigatória</t>
        </is>
      </c>
      <c r="D13" s="3" t="inlineStr">
        <is>
          <t>percentual</t>
        </is>
      </c>
      <c r="E13" s="3" t="inlineStr">
        <is>
          <t>maior_melhor</t>
        </is>
      </c>
      <c r="F13" s="3" t="n">
        <v>25</v>
      </c>
      <c r="G13" s="3" t="n">
        <v>35</v>
      </c>
      <c r="H13" s="3" t="n">
        <v>55</v>
      </c>
      <c r="I13" s="3" t="n">
        <v>80</v>
      </c>
      <c r="J13" s="3" t="n">
        <v>95</v>
      </c>
      <c r="K13" s="3" t="b">
        <v>1</v>
      </c>
    </row>
    <row r="14">
      <c r="A14" s="3" t="inlineStr">
        <is>
          <t>Desenvolvimento e Operação de IA (DevOps/MLOps)</t>
        </is>
      </c>
      <c r="B14" s="3" t="inlineStr">
        <is>
          <t>DO4</t>
        </is>
      </c>
      <c r="C14" s="3" t="inlineStr">
        <is>
          <t>Tempo médio de resposta a incidentes de IA (MTTR)</t>
        </is>
      </c>
      <c r="D14" s="3" t="inlineStr">
        <is>
          <t>horas</t>
        </is>
      </c>
      <c r="E14" s="3" t="inlineStr">
        <is>
          <t>menor_melhor</t>
        </is>
      </c>
      <c r="F14" s="3" t="n">
        <v>20</v>
      </c>
      <c r="G14" s="3" t="n">
        <v>72</v>
      </c>
      <c r="H14" s="3" t="n">
        <v>36</v>
      </c>
      <c r="I14" s="3" t="n">
        <v>12</v>
      </c>
      <c r="J14" s="3" t="n">
        <v>4</v>
      </c>
      <c r="K14" s="3" t="b">
        <v>0</v>
      </c>
    </row>
    <row r="15">
      <c r="A15" s="3" t="inlineStr">
        <is>
          <t>Ética, Transparência e Gestão de Risco</t>
        </is>
      </c>
      <c r="B15" s="3" t="inlineStr">
        <is>
          <t>ER1</t>
        </is>
      </c>
      <c r="C15" s="3" t="inlineStr">
        <is>
          <t>Cobertura de avaliação ética e de risco algorítmico</t>
        </is>
      </c>
      <c r="D15" s="3" t="inlineStr">
        <is>
          <t>percentual</t>
        </is>
      </c>
      <c r="E15" s="3" t="inlineStr">
        <is>
          <t>maior_melhor</t>
        </is>
      </c>
      <c r="F15" s="3" t="n">
        <v>40</v>
      </c>
      <c r="G15" s="3" t="n">
        <v>35</v>
      </c>
      <c r="H15" s="3" t="n">
        <v>60</v>
      </c>
      <c r="I15" s="3" t="n">
        <v>80</v>
      </c>
      <c r="J15" s="3" t="n">
        <v>95</v>
      </c>
      <c r="K15" s="3" t="b">
        <v>1</v>
      </c>
    </row>
    <row r="16">
      <c r="A16" s="3" t="inlineStr">
        <is>
          <t>Ética, Transparência e Gestão de Risco</t>
        </is>
      </c>
      <c r="B16" s="3" t="inlineStr">
        <is>
          <t>ER2</t>
        </is>
      </c>
      <c r="C16" s="3" t="inlineStr">
        <is>
          <t>Transparência ao usuário e ao afetado pela IA</t>
        </is>
      </c>
      <c r="D16" s="3" t="inlineStr">
        <is>
          <t>percentual</t>
        </is>
      </c>
      <c r="E16" s="3" t="inlineStr">
        <is>
          <t>maior_melhor</t>
        </is>
      </c>
      <c r="F16" s="3" t="n">
        <v>25</v>
      </c>
      <c r="G16" s="3" t="n">
        <v>35</v>
      </c>
      <c r="H16" s="3" t="n">
        <v>55</v>
      </c>
      <c r="I16" s="3" t="n">
        <v>80</v>
      </c>
      <c r="J16" s="3" t="n">
        <v>95</v>
      </c>
      <c r="K16" s="3" t="b">
        <v>0</v>
      </c>
    </row>
    <row r="17">
      <c r="A17" s="3" t="inlineStr">
        <is>
          <t>Ética, Transparência e Gestão de Risco</t>
        </is>
      </c>
      <c r="B17" s="3" t="inlineStr">
        <is>
          <t>ER3</t>
        </is>
      </c>
      <c r="C17" s="3" t="inlineStr">
        <is>
          <t>Conformidade ética e regulatória após auditoria</t>
        </is>
      </c>
      <c r="D17" s="3" t="inlineStr">
        <is>
          <t>percentual</t>
        </is>
      </c>
      <c r="E17" s="3" t="inlineStr">
        <is>
          <t>maior_melhor</t>
        </is>
      </c>
      <c r="F17" s="3" t="n">
        <v>35</v>
      </c>
      <c r="G17" s="3" t="n">
        <v>60</v>
      </c>
      <c r="H17" s="3" t="n">
        <v>75</v>
      </c>
      <c r="I17" s="3" t="n">
        <v>90</v>
      </c>
      <c r="J17" s="3" t="n">
        <v>98</v>
      </c>
      <c r="K17" s="3" t="b">
        <v>1</v>
      </c>
    </row>
    <row r="18">
      <c r="A18" s="3" t="inlineStr">
        <is>
          <t>Impacto Social e Valor</t>
        </is>
      </c>
      <c r="B18" s="3" t="inlineStr">
        <is>
          <t>IV1</t>
        </is>
      </c>
      <c r="C18" s="3" t="inlineStr">
        <is>
          <t>Taxa de metas de valor atingidas por iniciativas de IA</t>
        </is>
      </c>
      <c r="D18" s="3" t="inlineStr">
        <is>
          <t>percentual</t>
        </is>
      </c>
      <c r="E18" s="3" t="inlineStr">
        <is>
          <t>maior_melhor</t>
        </is>
      </c>
      <c r="F18" s="3" t="n">
        <v>40</v>
      </c>
      <c r="G18" s="3" t="n">
        <v>30</v>
      </c>
      <c r="H18" s="3" t="n">
        <v>50</v>
      </c>
      <c r="I18" s="3" t="n">
        <v>75</v>
      </c>
      <c r="J18" s="3" t="n">
        <v>90</v>
      </c>
      <c r="K18" s="3" t="b">
        <v>0</v>
      </c>
    </row>
    <row r="19">
      <c r="A19" s="3" t="inlineStr">
        <is>
          <t>Impacto Social e Valor</t>
        </is>
      </c>
      <c r="B19" s="3" t="inlineStr">
        <is>
          <t>IV2</t>
        </is>
      </c>
      <c r="C19" s="3" t="inlineStr">
        <is>
          <t>Cobertura de acessibilidade e inclusão nos serviços com IA</t>
        </is>
      </c>
      <c r="D19" s="3" t="inlineStr">
        <is>
          <t>percentual</t>
        </is>
      </c>
      <c r="E19" s="3" t="inlineStr">
        <is>
          <t>maior_melhor</t>
        </is>
      </c>
      <c r="F19" s="3" t="n">
        <v>25</v>
      </c>
      <c r="G19" s="3" t="n">
        <v>35</v>
      </c>
      <c r="H19" s="3" t="n">
        <v>55</v>
      </c>
      <c r="I19" s="3" t="n">
        <v>80</v>
      </c>
      <c r="J19" s="3" t="n">
        <v>95</v>
      </c>
      <c r="K19" s="3" t="b">
        <v>0</v>
      </c>
    </row>
    <row r="20">
      <c r="A20" s="3" t="inlineStr">
        <is>
          <t>Impacto Social e Valor</t>
        </is>
      </c>
      <c r="B20" s="3" t="inlineStr">
        <is>
          <t>IV3</t>
        </is>
      </c>
      <c r="C20" s="3" t="inlineStr">
        <is>
          <t>Confiança e satisfação do usuário com serviços apoiados por IA</t>
        </is>
      </c>
      <c r="D20" s="3" t="inlineStr">
        <is>
          <t>escala_1_5</t>
        </is>
      </c>
      <c r="E20" s="3" t="inlineStr">
        <is>
          <t>maior_melhor</t>
        </is>
      </c>
      <c r="F20" s="3" t="n">
        <v>35</v>
      </c>
      <c r="G20" s="3" t="n">
        <v>2.8</v>
      </c>
      <c r="H20" s="3" t="n">
        <v>3.4</v>
      </c>
      <c r="I20" s="3" t="n">
        <v>4</v>
      </c>
      <c r="J20" s="3" t="n">
        <v>4.5</v>
      </c>
      <c r="K20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40" customWidth="1" min="12" max="12"/>
    <col width="19" customWidth="1" min="13" max="13"/>
    <col width="21" customWidth="1" min="14" max="14"/>
    <col width="13" customWidth="1" min="15" max="15"/>
  </cols>
  <sheetData>
    <row r="1">
      <c r="A1" s="2" t="inlineStr">
        <is>
          <t>Dimensão</t>
        </is>
      </c>
      <c r="B1" s="2" t="inlineStr">
        <is>
          <t>Código</t>
        </is>
      </c>
      <c r="C1" s="2" t="inlineStr">
        <is>
          <t>Indicador</t>
        </is>
      </c>
      <c r="D1" s="2" t="inlineStr">
        <is>
          <t>Unidade</t>
        </is>
      </c>
      <c r="E1" s="2" t="inlineStr">
        <is>
          <t>Polaridade</t>
        </is>
      </c>
      <c r="F1" s="2" t="inlineStr">
        <is>
          <t>Peso_indicador</t>
        </is>
      </c>
      <c r="G1" s="2" t="inlineStr">
        <is>
          <t>Limiar_N2</t>
        </is>
      </c>
      <c r="H1" s="2" t="inlineStr">
        <is>
          <t>Limiar_N3</t>
        </is>
      </c>
      <c r="I1" s="2" t="inlineStr">
        <is>
          <t>Limiar_N4</t>
        </is>
      </c>
      <c r="J1" s="2" t="inlineStr">
        <is>
          <t>Limiar_N5</t>
        </is>
      </c>
      <c r="K1" s="2" t="inlineStr">
        <is>
          <t>Valor_apurado</t>
        </is>
      </c>
      <c r="L1" s="2" t="inlineStr">
        <is>
          <t>Nota_automática</t>
        </is>
      </c>
      <c r="M1" s="2" t="inlineStr">
        <is>
          <t>Indicador_crítico</t>
        </is>
      </c>
      <c r="N1" s="2" t="inlineStr">
        <is>
          <t>Evidência_principal</t>
        </is>
      </c>
      <c r="O1" s="2" t="inlineStr">
        <is>
          <t>Observações</t>
        </is>
      </c>
    </row>
    <row r="2">
      <c r="A2" s="3" t="inlineStr">
        <is>
          <t>Estratégia e Governança de IA</t>
        </is>
      </c>
      <c r="B2" s="3" t="inlineStr">
        <is>
          <t>EG1</t>
        </is>
      </c>
      <c r="C2" s="3" t="inlineStr">
        <is>
          <t>Cobertura de política e estratégia de IA</t>
        </is>
      </c>
      <c r="D2" s="3" t="inlineStr">
        <is>
          <t>percentual</t>
        </is>
      </c>
      <c r="E2" s="3" t="inlineStr">
        <is>
          <t>maior_melhor</t>
        </is>
      </c>
      <c r="F2" s="3" t="n">
        <v>30</v>
      </c>
      <c r="G2" s="3" t="n">
        <v>30</v>
      </c>
      <c r="H2" s="3" t="n">
        <v>50</v>
      </c>
      <c r="I2" s="3" t="n">
        <v>75</v>
      </c>
      <c r="J2" s="3" t="n">
        <v>90</v>
      </c>
      <c r="K2" s="3" t="n"/>
      <c r="L2" s="3">
        <f>IF(K2="","",IF(K2&lt;G2,1,IF(K2&lt;H2,2,IF(K2&lt;I2,3,IF(K2&lt;J2,4,5)))))</f>
        <v/>
      </c>
      <c r="M2" s="3" t="b">
        <v>0</v>
      </c>
      <c r="N2" s="3" t="inlineStr"/>
      <c r="O2" s="3" t="inlineStr"/>
    </row>
    <row r="3">
      <c r="A3" s="3" t="inlineStr">
        <is>
          <t>Estratégia e Governança de IA</t>
        </is>
      </c>
      <c r="B3" s="3" t="inlineStr">
        <is>
          <t>EG2</t>
        </is>
      </c>
      <c r="C3" s="3" t="inlineStr">
        <is>
          <t>Governança do portfólio de casos de uso de IA</t>
        </is>
      </c>
      <c r="D3" s="3" t="inlineStr">
        <is>
          <t>percentual</t>
        </is>
      </c>
      <c r="E3" s="3" t="inlineStr">
        <is>
          <t>maior_melhor</t>
        </is>
      </c>
      <c r="F3" s="3" t="n">
        <v>30</v>
      </c>
      <c r="G3" s="3" t="n">
        <v>30</v>
      </c>
      <c r="H3" s="3" t="n">
        <v>50</v>
      </c>
      <c r="I3" s="3" t="n">
        <v>75</v>
      </c>
      <c r="J3" s="3" t="n">
        <v>90</v>
      </c>
      <c r="K3" s="3" t="n"/>
      <c r="L3" s="3">
        <f>IF(K3="","",IF(K3&lt;G3,1,IF(K3&lt;H3,2,IF(K3&lt;I3,3,IF(K3&lt;J3,4,5)))))</f>
        <v/>
      </c>
      <c r="M3" s="3" t="b">
        <v>0</v>
      </c>
      <c r="N3" s="3" t="inlineStr"/>
      <c r="O3" s="3" t="inlineStr"/>
    </row>
    <row r="4">
      <c r="A4" s="3" t="inlineStr">
        <is>
          <t>Estratégia e Governança de IA</t>
        </is>
      </c>
      <c r="B4" s="3" t="inlineStr">
        <is>
          <t>EG3</t>
        </is>
      </c>
      <c r="C4" s="3" t="inlineStr">
        <is>
          <t>Rastreabilidade de decisões e artefatos de IA</t>
        </is>
      </c>
      <c r="D4" s="3" t="inlineStr">
        <is>
          <t>percentual</t>
        </is>
      </c>
      <c r="E4" s="3" t="inlineStr">
        <is>
          <t>maior_melhor</t>
        </is>
      </c>
      <c r="F4" s="3" t="n">
        <v>40</v>
      </c>
      <c r="G4" s="3" t="n">
        <v>30</v>
      </c>
      <c r="H4" s="3" t="n">
        <v>50</v>
      </c>
      <c r="I4" s="3" t="n">
        <v>75</v>
      </c>
      <c r="J4" s="3" t="n">
        <v>90</v>
      </c>
      <c r="K4" s="3" t="n"/>
      <c r="L4" s="3">
        <f>IF(K4="","",IF(K4&lt;G4,1,IF(K4&lt;H4,2,IF(K4&lt;I4,3,IF(K4&lt;J4,4,5)))))</f>
        <v/>
      </c>
      <c r="M4" s="3" t="b">
        <v>0</v>
      </c>
      <c r="N4" s="3" t="inlineStr"/>
      <c r="O4" s="3" t="inlineStr"/>
    </row>
    <row r="5">
      <c r="A5" s="3" t="inlineStr">
        <is>
          <t>Dados e Infraestrutura</t>
        </is>
      </c>
      <c r="B5" s="3" t="inlineStr">
        <is>
          <t>DI1</t>
        </is>
      </c>
      <c r="C5" s="3" t="inlineStr">
        <is>
          <t>Cobertura de catálogo e linhagem de dados e modelos</t>
        </is>
      </c>
      <c r="D5" s="3" t="inlineStr">
        <is>
          <t>percentual</t>
        </is>
      </c>
      <c r="E5" s="3" t="inlineStr">
        <is>
          <t>maior_melhor</t>
        </is>
      </c>
      <c r="F5" s="3" t="n">
        <v>35</v>
      </c>
      <c r="G5" s="3" t="n">
        <v>35</v>
      </c>
      <c r="H5" s="3" t="n">
        <v>55</v>
      </c>
      <c r="I5" s="3" t="n">
        <v>75</v>
      </c>
      <c r="J5" s="3" t="n">
        <v>90</v>
      </c>
      <c r="K5" s="3" t="n"/>
      <c r="L5" s="3">
        <f>IF(K5="","",IF(K5&lt;G5,1,IF(K5&lt;H5,2,IF(K5&lt;I5,3,IF(K5&lt;J5,4,5)))))</f>
        <v/>
      </c>
      <c r="M5" s="3" t="b">
        <v>0</v>
      </c>
      <c r="N5" s="3" t="inlineStr"/>
      <c r="O5" s="3" t="inlineStr"/>
    </row>
    <row r="6">
      <c r="A6" s="3" t="inlineStr">
        <is>
          <t>Dados e Infraestrutura</t>
        </is>
      </c>
      <c r="B6" s="3" t="inlineStr">
        <is>
          <t>DI2</t>
        </is>
      </c>
      <c r="C6" s="3" t="inlineStr">
        <is>
          <t>Conformidade de proteção de dados e acessos</t>
        </is>
      </c>
      <c r="D6" s="3" t="inlineStr">
        <is>
          <t>percentual</t>
        </is>
      </c>
      <c r="E6" s="3" t="inlineStr">
        <is>
          <t>maior_melhor</t>
        </is>
      </c>
      <c r="F6" s="3" t="n">
        <v>40</v>
      </c>
      <c r="G6" s="3" t="n">
        <v>40</v>
      </c>
      <c r="H6" s="3" t="n">
        <v>60</v>
      </c>
      <c r="I6" s="3" t="n">
        <v>80</v>
      </c>
      <c r="J6" s="3" t="n">
        <v>95</v>
      </c>
      <c r="K6" s="3" t="n"/>
      <c r="L6" s="3">
        <f>IF(K6="","",IF(K6&lt;G6,1,IF(K6&lt;H6,2,IF(K6&lt;I6,3,IF(K6&lt;J6,4,5)))))</f>
        <v/>
      </c>
      <c r="M6" s="3" t="b">
        <v>1</v>
      </c>
      <c r="N6" s="3" t="inlineStr"/>
      <c r="O6" s="3" t="inlineStr"/>
    </row>
    <row r="7">
      <c r="A7" s="3" t="inlineStr">
        <is>
          <t>Dados e Infraestrutura</t>
        </is>
      </c>
      <c r="B7" s="3" t="inlineStr">
        <is>
          <t>DI3</t>
        </is>
      </c>
      <c r="C7" s="3" t="inlineStr">
        <is>
          <t>Disponibilidade da infraestrutura crítica de IA</t>
        </is>
      </c>
      <c r="D7" s="3" t="inlineStr">
        <is>
          <t>percentual</t>
        </is>
      </c>
      <c r="E7" s="3" t="inlineStr">
        <is>
          <t>maior_melhor</t>
        </is>
      </c>
      <c r="F7" s="3" t="n">
        <v>25</v>
      </c>
      <c r="G7" s="3" t="n">
        <v>97</v>
      </c>
      <c r="H7" s="3" t="n">
        <v>98</v>
      </c>
      <c r="I7" s="3" t="n">
        <v>99</v>
      </c>
      <c r="J7" s="3" t="n">
        <v>99.7</v>
      </c>
      <c r="K7" s="3" t="n"/>
      <c r="L7" s="3">
        <f>IF(K7="","",IF(K7&lt;G7,1,IF(K7&lt;H7,2,IF(K7&lt;I7,3,IF(K7&lt;J7,4,5)))))</f>
        <v/>
      </c>
      <c r="M7" s="3" t="b">
        <v>0</v>
      </c>
      <c r="N7" s="3" t="inlineStr"/>
      <c r="O7" s="3" t="inlineStr"/>
    </row>
    <row r="8">
      <c r="A8" s="3" t="inlineStr">
        <is>
          <t>Talento e Cultura</t>
        </is>
      </c>
      <c r="B8" s="3" t="inlineStr">
        <is>
          <t>TC1</t>
        </is>
      </c>
      <c r="C8" s="3" t="inlineStr">
        <is>
          <t>Cobertura de papéis críticos de IA formalmente atribuídos</t>
        </is>
      </c>
      <c r="D8" s="3" t="inlineStr">
        <is>
          <t>percentual</t>
        </is>
      </c>
      <c r="E8" s="3" t="inlineStr">
        <is>
          <t>maior_melhor</t>
        </is>
      </c>
      <c r="F8" s="3" t="n">
        <v>35</v>
      </c>
      <c r="G8" s="3" t="n">
        <v>30</v>
      </c>
      <c r="H8" s="3" t="n">
        <v>50</v>
      </c>
      <c r="I8" s="3" t="n">
        <v>75</v>
      </c>
      <c r="J8" s="3" t="n">
        <v>90</v>
      </c>
      <c r="K8" s="3" t="n"/>
      <c r="L8" s="3">
        <f>IF(K8="","",IF(K8&lt;G8,1,IF(K8&lt;H8,2,IF(K8&lt;I8,3,IF(K8&lt;J8,4,5)))))</f>
        <v/>
      </c>
      <c r="M8" s="3" t="b">
        <v>0</v>
      </c>
      <c r="N8" s="3" t="inlineStr"/>
      <c r="O8" s="3" t="inlineStr"/>
    </row>
    <row r="9">
      <c r="A9" s="3" t="inlineStr">
        <is>
          <t>Talento e Cultura</t>
        </is>
      </c>
      <c r="B9" s="3" t="inlineStr">
        <is>
          <t>TC2</t>
        </is>
      </c>
      <c r="C9" s="3" t="inlineStr">
        <is>
          <t>Capacitação aplicada em governança e operação de IA</t>
        </is>
      </c>
      <c r="D9" s="3" t="inlineStr">
        <is>
          <t>horas</t>
        </is>
      </c>
      <c r="E9" s="3" t="inlineStr">
        <is>
          <t>maior_melhor</t>
        </is>
      </c>
      <c r="F9" s="3" t="n">
        <v>25</v>
      </c>
      <c r="G9" s="3" t="n">
        <v>6</v>
      </c>
      <c r="H9" s="3" t="n">
        <v>12</v>
      </c>
      <c r="I9" s="3" t="n">
        <v>20</v>
      </c>
      <c r="J9" s="3" t="n">
        <v>32</v>
      </c>
      <c r="K9" s="3" t="n"/>
      <c r="L9" s="3">
        <f>IF(K9="","",IF(K9&lt;G9,1,IF(K9&lt;H9,2,IF(K9&lt;I9,3,IF(K9&lt;J9,4,5)))))</f>
        <v/>
      </c>
      <c r="M9" s="3" t="b">
        <v>0</v>
      </c>
      <c r="N9" s="3" t="inlineStr"/>
      <c r="O9" s="3" t="inlineStr"/>
    </row>
    <row r="10">
      <c r="A10" s="3" t="inlineStr">
        <is>
          <t>Talento e Cultura</t>
        </is>
      </c>
      <c r="B10" s="3" t="inlineStr">
        <is>
          <t>TC3</t>
        </is>
      </c>
      <c r="C10" s="3" t="inlineStr">
        <is>
          <t>Aderência à segregação entre ideação e produção</t>
        </is>
      </c>
      <c r="D10" s="3" t="inlineStr">
        <is>
          <t>percentual</t>
        </is>
      </c>
      <c r="E10" s="3" t="inlineStr">
        <is>
          <t>maior_melhor</t>
        </is>
      </c>
      <c r="F10" s="3" t="n">
        <v>40</v>
      </c>
      <c r="G10" s="3" t="n">
        <v>30</v>
      </c>
      <c r="H10" s="3" t="n">
        <v>50</v>
      </c>
      <c r="I10" s="3" t="n">
        <v>75</v>
      </c>
      <c r="J10" s="3" t="n">
        <v>90</v>
      </c>
      <c r="K10" s="3" t="n"/>
      <c r="L10" s="3">
        <f>IF(K10="","",IF(K10&lt;G10,1,IF(K10&lt;H10,2,IF(K10&lt;I10,3,IF(K10&lt;J10,4,5)))))</f>
        <v/>
      </c>
      <c r="M10" s="3" t="b">
        <v>0</v>
      </c>
      <c r="N10" s="3" t="inlineStr"/>
      <c r="O10" s="3" t="inlineStr"/>
    </row>
    <row r="11">
      <c r="A11" s="3" t="inlineStr">
        <is>
          <t>Desenvolvimento e Operação de IA (DevOps/MLOps)</t>
        </is>
      </c>
      <c r="B11" s="3" t="inlineStr">
        <is>
          <t>DO1</t>
        </is>
      </c>
      <c r="C11" s="3" t="inlineStr">
        <is>
          <t>Cobertura de especificação antes de código ou ajuste de modelo</t>
        </is>
      </c>
      <c r="D11" s="3" t="inlineStr">
        <is>
          <t>percentual</t>
        </is>
      </c>
      <c r="E11" s="3" t="inlineStr">
        <is>
          <t>maior_melhor</t>
        </is>
      </c>
      <c r="F11" s="3" t="n">
        <v>25</v>
      </c>
      <c r="G11" s="3" t="n">
        <v>35</v>
      </c>
      <c r="H11" s="3" t="n">
        <v>55</v>
      </c>
      <c r="I11" s="3" t="n">
        <v>80</v>
      </c>
      <c r="J11" s="3" t="n">
        <v>95</v>
      </c>
      <c r="K11" s="3" t="n"/>
      <c r="L11" s="3">
        <f>IF(K11="","",IF(K11&lt;G11,1,IF(K11&lt;H11,2,IF(K11&lt;I11,3,IF(K11&lt;J11,4,5)))))</f>
        <v/>
      </c>
      <c r="M11" s="3" t="b">
        <v>0</v>
      </c>
      <c r="N11" s="3" t="inlineStr"/>
      <c r="O11" s="3" t="inlineStr"/>
    </row>
    <row r="12">
      <c r="A12" s="3" t="inlineStr">
        <is>
          <t>Desenvolvimento e Operação de IA (DevOps/MLOps)</t>
        </is>
      </c>
      <c r="B12" s="3" t="inlineStr">
        <is>
          <t>DO2</t>
        </is>
      </c>
      <c r="C12" s="3" t="inlineStr">
        <is>
          <t>Cobertura de testes e validações de IA na esteira</t>
        </is>
      </c>
      <c r="D12" s="3" t="inlineStr">
        <is>
          <t>percentual</t>
        </is>
      </c>
      <c r="E12" s="3" t="inlineStr">
        <is>
          <t>maior_melhor</t>
        </is>
      </c>
      <c r="F12" s="3" t="n">
        <v>30</v>
      </c>
      <c r="G12" s="3" t="n">
        <v>35</v>
      </c>
      <c r="H12" s="3" t="n">
        <v>55</v>
      </c>
      <c r="I12" s="3" t="n">
        <v>80</v>
      </c>
      <c r="J12" s="3" t="n">
        <v>95</v>
      </c>
      <c r="K12" s="3" t="n"/>
      <c r="L12" s="3">
        <f>IF(K12="","",IF(K12&lt;G12,1,IF(K12&lt;H12,2,IF(K12&lt;I12,3,IF(K12&lt;J12,4,5)))))</f>
        <v/>
      </c>
      <c r="M12" s="3" t="b">
        <v>1</v>
      </c>
      <c r="N12" s="3" t="inlineStr"/>
      <c r="O12" s="3" t="inlineStr"/>
    </row>
    <row r="13">
      <c r="A13" s="3" t="inlineStr">
        <is>
          <t>Desenvolvimento e Operação de IA (DevOps/MLOps)</t>
        </is>
      </c>
      <c r="B13" s="3" t="inlineStr">
        <is>
          <t>DO3</t>
        </is>
      </c>
      <c r="C13" s="3" t="inlineStr">
        <is>
          <t>Cobertura de observabilidade obrigatória</t>
        </is>
      </c>
      <c r="D13" s="3" t="inlineStr">
        <is>
          <t>percentual</t>
        </is>
      </c>
      <c r="E13" s="3" t="inlineStr">
        <is>
          <t>maior_melhor</t>
        </is>
      </c>
      <c r="F13" s="3" t="n">
        <v>25</v>
      </c>
      <c r="G13" s="3" t="n">
        <v>35</v>
      </c>
      <c r="H13" s="3" t="n">
        <v>55</v>
      </c>
      <c r="I13" s="3" t="n">
        <v>80</v>
      </c>
      <c r="J13" s="3" t="n">
        <v>95</v>
      </c>
      <c r="K13" s="3" t="n"/>
      <c r="L13" s="3">
        <f>IF(K13="","",IF(K13&lt;G13,1,IF(K13&lt;H13,2,IF(K13&lt;I13,3,IF(K13&lt;J13,4,5)))))</f>
        <v/>
      </c>
      <c r="M13" s="3" t="b">
        <v>1</v>
      </c>
      <c r="N13" s="3" t="inlineStr"/>
      <c r="O13" s="3" t="inlineStr"/>
    </row>
    <row r="14">
      <c r="A14" s="3" t="inlineStr">
        <is>
          <t>Desenvolvimento e Operação de IA (DevOps/MLOps)</t>
        </is>
      </c>
      <c r="B14" s="3" t="inlineStr">
        <is>
          <t>DO4</t>
        </is>
      </c>
      <c r="C14" s="3" t="inlineStr">
        <is>
          <t>Tempo médio de resposta a incidentes de IA (MTTR)</t>
        </is>
      </c>
      <c r="D14" s="3" t="inlineStr">
        <is>
          <t>horas</t>
        </is>
      </c>
      <c r="E14" s="3" t="inlineStr">
        <is>
          <t>menor_melhor</t>
        </is>
      </c>
      <c r="F14" s="3" t="n">
        <v>20</v>
      </c>
      <c r="G14" s="3" t="n">
        <v>72</v>
      </c>
      <c r="H14" s="3" t="n">
        <v>36</v>
      </c>
      <c r="I14" s="3" t="n">
        <v>12</v>
      </c>
      <c r="J14" s="3" t="n">
        <v>4</v>
      </c>
      <c r="K14" s="3" t="n"/>
      <c r="L14" s="3">
        <f>IF(K14="","",IF(K14&lt;=J14,5,IF(K14&lt;=I14,4,IF(K14&lt;=H14,3,IF(K14&lt;=G14,2,1)))))</f>
        <v/>
      </c>
      <c r="M14" s="3" t="b">
        <v>0</v>
      </c>
      <c r="N14" s="3" t="inlineStr"/>
      <c r="O14" s="3" t="inlineStr"/>
    </row>
    <row r="15">
      <c r="A15" s="3" t="inlineStr">
        <is>
          <t>Ética, Transparência e Gestão de Risco</t>
        </is>
      </c>
      <c r="B15" s="3" t="inlineStr">
        <is>
          <t>ER1</t>
        </is>
      </c>
      <c r="C15" s="3" t="inlineStr">
        <is>
          <t>Cobertura de avaliação ética e de risco algorítmico</t>
        </is>
      </c>
      <c r="D15" s="3" t="inlineStr">
        <is>
          <t>percentual</t>
        </is>
      </c>
      <c r="E15" s="3" t="inlineStr">
        <is>
          <t>maior_melhor</t>
        </is>
      </c>
      <c r="F15" s="3" t="n">
        <v>40</v>
      </c>
      <c r="G15" s="3" t="n">
        <v>35</v>
      </c>
      <c r="H15" s="3" t="n">
        <v>60</v>
      </c>
      <c r="I15" s="3" t="n">
        <v>80</v>
      </c>
      <c r="J15" s="3" t="n">
        <v>95</v>
      </c>
      <c r="K15" s="3" t="n"/>
      <c r="L15" s="3">
        <f>IF(K15="","",IF(K15&lt;G15,1,IF(K15&lt;H15,2,IF(K15&lt;I15,3,IF(K15&lt;J15,4,5)))))</f>
        <v/>
      </c>
      <c r="M15" s="3" t="b">
        <v>1</v>
      </c>
      <c r="N15" s="3" t="inlineStr"/>
      <c r="O15" s="3" t="inlineStr"/>
    </row>
    <row r="16">
      <c r="A16" s="3" t="inlineStr">
        <is>
          <t>Ética, Transparência e Gestão de Risco</t>
        </is>
      </c>
      <c r="B16" s="3" t="inlineStr">
        <is>
          <t>ER2</t>
        </is>
      </c>
      <c r="C16" s="3" t="inlineStr">
        <is>
          <t>Transparência ao usuário e ao afetado pela IA</t>
        </is>
      </c>
      <c r="D16" s="3" t="inlineStr">
        <is>
          <t>percentual</t>
        </is>
      </c>
      <c r="E16" s="3" t="inlineStr">
        <is>
          <t>maior_melhor</t>
        </is>
      </c>
      <c r="F16" s="3" t="n">
        <v>25</v>
      </c>
      <c r="G16" s="3" t="n">
        <v>35</v>
      </c>
      <c r="H16" s="3" t="n">
        <v>55</v>
      </c>
      <c r="I16" s="3" t="n">
        <v>80</v>
      </c>
      <c r="J16" s="3" t="n">
        <v>95</v>
      </c>
      <c r="K16" s="3" t="n"/>
      <c r="L16" s="3">
        <f>IF(K16="","",IF(K16&lt;G16,1,IF(K16&lt;H16,2,IF(K16&lt;I16,3,IF(K16&lt;J16,4,5)))))</f>
        <v/>
      </c>
      <c r="M16" s="3" t="b">
        <v>0</v>
      </c>
      <c r="N16" s="3" t="inlineStr"/>
      <c r="O16" s="3" t="inlineStr"/>
    </row>
    <row r="17">
      <c r="A17" s="3" t="inlineStr">
        <is>
          <t>Ética, Transparência e Gestão de Risco</t>
        </is>
      </c>
      <c r="B17" s="3" t="inlineStr">
        <is>
          <t>ER3</t>
        </is>
      </c>
      <c r="C17" s="3" t="inlineStr">
        <is>
          <t>Conformidade ética e regulatória após auditoria</t>
        </is>
      </c>
      <c r="D17" s="3" t="inlineStr">
        <is>
          <t>percentual</t>
        </is>
      </c>
      <c r="E17" s="3" t="inlineStr">
        <is>
          <t>maior_melhor</t>
        </is>
      </c>
      <c r="F17" s="3" t="n">
        <v>35</v>
      </c>
      <c r="G17" s="3" t="n">
        <v>60</v>
      </c>
      <c r="H17" s="3" t="n">
        <v>75</v>
      </c>
      <c r="I17" s="3" t="n">
        <v>90</v>
      </c>
      <c r="J17" s="3" t="n">
        <v>98</v>
      </c>
      <c r="K17" s="3" t="n"/>
      <c r="L17" s="3">
        <f>IF(K17="","",IF(K17&lt;G17,1,IF(K17&lt;H17,2,IF(K17&lt;I17,3,IF(K17&lt;J17,4,5)))))</f>
        <v/>
      </c>
      <c r="M17" s="3" t="b">
        <v>1</v>
      </c>
      <c r="N17" s="3" t="inlineStr"/>
      <c r="O17" s="3" t="inlineStr"/>
    </row>
    <row r="18">
      <c r="A18" s="3" t="inlineStr">
        <is>
          <t>Impacto Social e Valor</t>
        </is>
      </c>
      <c r="B18" s="3" t="inlineStr">
        <is>
          <t>IV1</t>
        </is>
      </c>
      <c r="C18" s="3" t="inlineStr">
        <is>
          <t>Taxa de metas de valor atingidas por iniciativas de IA</t>
        </is>
      </c>
      <c r="D18" s="3" t="inlineStr">
        <is>
          <t>percentual</t>
        </is>
      </c>
      <c r="E18" s="3" t="inlineStr">
        <is>
          <t>maior_melhor</t>
        </is>
      </c>
      <c r="F18" s="3" t="n">
        <v>40</v>
      </c>
      <c r="G18" s="3" t="n">
        <v>30</v>
      </c>
      <c r="H18" s="3" t="n">
        <v>50</v>
      </c>
      <c r="I18" s="3" t="n">
        <v>75</v>
      </c>
      <c r="J18" s="3" t="n">
        <v>90</v>
      </c>
      <c r="K18" s="3" t="n"/>
      <c r="L18" s="3">
        <f>IF(K18="","",IF(K18&lt;G18,1,IF(K18&lt;H18,2,IF(K18&lt;I18,3,IF(K18&lt;J18,4,5)))))</f>
        <v/>
      </c>
      <c r="M18" s="3" t="b">
        <v>0</v>
      </c>
      <c r="N18" s="3" t="inlineStr"/>
      <c r="O18" s="3" t="inlineStr"/>
    </row>
    <row r="19">
      <c r="A19" s="3" t="inlineStr">
        <is>
          <t>Impacto Social e Valor</t>
        </is>
      </c>
      <c r="B19" s="3" t="inlineStr">
        <is>
          <t>IV2</t>
        </is>
      </c>
      <c r="C19" s="3" t="inlineStr">
        <is>
          <t>Cobertura de acessibilidade e inclusão nos serviços com IA</t>
        </is>
      </c>
      <c r="D19" s="3" t="inlineStr">
        <is>
          <t>percentual</t>
        </is>
      </c>
      <c r="E19" s="3" t="inlineStr">
        <is>
          <t>maior_melhor</t>
        </is>
      </c>
      <c r="F19" s="3" t="n">
        <v>25</v>
      </c>
      <c r="G19" s="3" t="n">
        <v>35</v>
      </c>
      <c r="H19" s="3" t="n">
        <v>55</v>
      </c>
      <c r="I19" s="3" t="n">
        <v>80</v>
      </c>
      <c r="J19" s="3" t="n">
        <v>95</v>
      </c>
      <c r="K19" s="3" t="n"/>
      <c r="L19" s="3">
        <f>IF(K19="","",IF(K19&lt;G19,1,IF(K19&lt;H19,2,IF(K19&lt;I19,3,IF(K19&lt;J19,4,5)))))</f>
        <v/>
      </c>
      <c r="M19" s="3" t="b">
        <v>0</v>
      </c>
      <c r="N19" s="3" t="inlineStr"/>
      <c r="O19" s="3" t="inlineStr"/>
    </row>
    <row r="20">
      <c r="A20" s="3" t="inlineStr">
        <is>
          <t>Impacto Social e Valor</t>
        </is>
      </c>
      <c r="B20" s="3" t="inlineStr">
        <is>
          <t>IV3</t>
        </is>
      </c>
      <c r="C20" s="3" t="inlineStr">
        <is>
          <t>Confiança e satisfação do usuário com serviços apoiados por IA</t>
        </is>
      </c>
      <c r="D20" s="3" t="inlineStr">
        <is>
          <t>escala_1_5</t>
        </is>
      </c>
      <c r="E20" s="3" t="inlineStr">
        <is>
          <t>maior_melhor</t>
        </is>
      </c>
      <c r="F20" s="3" t="n">
        <v>35</v>
      </c>
      <c r="G20" s="3" t="n">
        <v>2.8</v>
      </c>
      <c r="H20" s="3" t="n">
        <v>3.4</v>
      </c>
      <c r="I20" s="3" t="n">
        <v>4</v>
      </c>
      <c r="J20" s="3" t="n">
        <v>4.5</v>
      </c>
      <c r="K20" s="3" t="n"/>
      <c r="L20" s="3">
        <f>IF(K20="","",IF(K20&lt;G20,1,IF(K20&lt;H20,2,IF(K20&lt;I20,3,IF(K20&lt;J20,4,5)))))</f>
        <v/>
      </c>
      <c r="M20" s="3" t="b">
        <v>0</v>
      </c>
      <c r="N20" s="3" t="inlineStr"/>
      <c r="O2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>
      <c r="A1" s="2" t="inlineStr">
        <is>
          <t>Dimensão</t>
        </is>
      </c>
      <c r="B1" s="2" t="inlineStr">
        <is>
          <t>Peso_dimensão</t>
        </is>
      </c>
      <c r="C1" s="2" t="inlineStr">
        <is>
          <t>Pontuação_dimensão</t>
        </is>
      </c>
    </row>
    <row r="2">
      <c r="A2" s="3" t="inlineStr">
        <is>
          <t>Estratégia e Governança de IA</t>
        </is>
      </c>
      <c r="B2" s="3" t="n">
        <v>15</v>
      </c>
      <c r="C2" s="3">
        <f>IFERROR(SUMPRODUCT(('Avaliação'!$A$2:$A$20=A2)*'Avaliação'!$F$2:$F$20*'Avaliação'!$L$2:$L$20)/SUMIF('Avaliação'!$A$2:$A$20,A2,'Avaliação'!$F$2:$F$20),"")</f>
        <v/>
      </c>
    </row>
    <row r="3">
      <c r="A3" s="3" t="inlineStr">
        <is>
          <t>Dados e Infraestrutura</t>
        </is>
      </c>
      <c r="B3" s="3" t="n">
        <v>20</v>
      </c>
      <c r="C3" s="3">
        <f>IFERROR(SUMPRODUCT(('Avaliação'!$A$2:$A$20=A3)*'Avaliação'!$F$2:$F$20*'Avaliação'!$L$2:$L$20)/SUMIF('Avaliação'!$A$2:$A$20,A3,'Avaliação'!$F$2:$F$20),"")</f>
        <v/>
      </c>
    </row>
    <row r="4">
      <c r="A4" s="3" t="inlineStr">
        <is>
          <t>Talento e Cultura</t>
        </is>
      </c>
      <c r="B4" s="3" t="n">
        <v>10</v>
      </c>
      <c r="C4" s="3">
        <f>IFERROR(SUMPRODUCT(('Avaliação'!$A$2:$A$20=A4)*'Avaliação'!$F$2:$F$20*'Avaliação'!$L$2:$L$20)/SUMIF('Avaliação'!$A$2:$A$20,A4,'Avaliação'!$F$2:$F$20),"")</f>
        <v/>
      </c>
    </row>
    <row r="5">
      <c r="A5" s="3" t="inlineStr">
        <is>
          <t>Desenvolvimento e Operação de IA (DevOps/MLOps)</t>
        </is>
      </c>
      <c r="B5" s="3" t="n">
        <v>25</v>
      </c>
      <c r="C5" s="3">
        <f>IFERROR(SUMPRODUCT(('Avaliação'!$A$2:$A$20=A5)*'Avaliação'!$F$2:$F$20*'Avaliação'!$L$2:$L$20)/SUMIF('Avaliação'!$A$2:$A$20,A5,'Avaliação'!$F$2:$F$20),"")</f>
        <v/>
      </c>
    </row>
    <row r="6">
      <c r="A6" s="3" t="inlineStr">
        <is>
          <t>Ética, Transparência e Gestão de Risco</t>
        </is>
      </c>
      <c r="B6" s="3" t="n">
        <v>20</v>
      </c>
      <c r="C6" s="3">
        <f>IFERROR(SUMPRODUCT(('Avaliação'!$A$2:$A$20=A6)*'Avaliação'!$F$2:$F$20*'Avaliação'!$L$2:$L$20)/SUMIF('Avaliação'!$A$2:$A$20,A6,'Avaliação'!$F$2:$F$20),"")</f>
        <v/>
      </c>
    </row>
    <row r="7">
      <c r="A7" s="3" t="inlineStr">
        <is>
          <t>Impacto Social e Valor</t>
        </is>
      </c>
      <c r="B7" s="3" t="n">
        <v>10</v>
      </c>
      <c r="C7" s="3">
        <f>IFERROR(SUMPRODUCT(('Avaliação'!$A$2:$A$20=A7)*'Avaliação'!$F$2:$F$20*'Avaliação'!$L$2:$L$20)/SUMIF('Avaliação'!$A$2:$A$20,A7,'Avaliação'!$F$2:$F$20),"")</f>
        <v/>
      </c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inlineStr">
        <is>
          <t>Índice geral</t>
        </is>
      </c>
      <c r="B10" s="3" t="n"/>
      <c r="C10" s="3">
        <f>SUMPRODUCT(B2:B7,C2:C7)/100</f>
        <v/>
      </c>
    </row>
    <row r="11">
      <c r="A11" s="3" t="inlineStr">
        <is>
          <t>Classificação base</t>
        </is>
      </c>
      <c r="B11" s="3" t="n"/>
      <c r="C11" s="3">
        <f>IF(C10="","",IF(C10&lt;=1.9,"Nível 1 - Inicial",IF(C10&lt;=2.7,"Nível 2 - Em Desenvolvimento",IF(C10&lt;=3.5,"Nível 3 - Otimizado",IF(C10&lt;=4.3,"Nível 4 - Consolidado","Nível 5 - Estabelecido")))))</f>
        <v/>
      </c>
    </row>
    <row r="12">
      <c r="A12" s="3" t="inlineStr">
        <is>
          <t>Barreira níveis críticos</t>
        </is>
      </c>
      <c r="B12" s="3" t="n"/>
      <c r="C12" s="3">
        <f>MIN(C3,C5,C6)</f>
        <v/>
      </c>
    </row>
    <row r="13">
      <c r="A13" s="3" t="inlineStr">
        <is>
          <t>Menor pontuação geral</t>
        </is>
      </c>
      <c r="B13" s="3" t="n"/>
      <c r="C13" s="3">
        <f>MIN(C2:C7)</f>
        <v/>
      </c>
    </row>
    <row r="14">
      <c r="A14" s="3" t="inlineStr">
        <is>
          <t>Menor nota de indicador crítico</t>
        </is>
      </c>
      <c r="B14" s="3" t="n"/>
      <c r="C14" s="3">
        <f>MINIFS('Avaliação'!L2:L20,'Avaliação'!M2:M20,TRUE)</f>
        <v/>
      </c>
    </row>
    <row r="15">
      <c r="A15" s="3" t="inlineStr">
        <is>
          <t>Classificação final</t>
        </is>
      </c>
      <c r="B15" s="3" t="n"/>
      <c r="C15" s="3">
        <f>IF(C10="","",IF(AND(C10&gt;4.3,C13&gt;=4,C14&gt;=3),"Nível 5 - Estabelecido",IF(AND(C10&gt;3.5,C12&gt;=3.5),"Nível 4 - Consolidado",IF(C10&gt;2.7,"Nível 3 - Otimizado",IF(C10&gt;1.9,"Nível 2 - Em Desenvolvimento","Nível 1 - Inicial")))))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2026-03-07T19:21:31Z</dcterms:created>
  <dcterms:modified xmlns:dcterms="http://purl.org/dc/terms/" xmlns:xsi="http://www.w3.org/2001/XMLSchema-instance" xsi:type="dcterms:W3CDTF">2026-03-07T19:21:31Z</dcterms:modified>
</cp:coreProperties>
</file>